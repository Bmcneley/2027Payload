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mac\OneDrive\Desktop\PCBs\"/>
    </mc:Choice>
  </mc:AlternateContent>
  <xr:revisionPtr revIDLastSave="0" documentId="13_ncr:1_{2E434F3B-5685-4610-A9FD-C685F598C4E5}" xr6:coauthVersionLast="47" xr6:coauthVersionMax="47" xr10:uidLastSave="{00000000-0000-0000-0000-000000000000}"/>
  <bookViews>
    <workbookView xWindow="-28920" yWindow="-120" windowWidth="29040" windowHeight="16440" xr2:uid="{0E70AB38-257A-4410-B66A-853AF9755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1" l="1"/>
</calcChain>
</file>

<file path=xl/sharedStrings.xml><?xml version="1.0" encoding="utf-8"?>
<sst xmlns="http://schemas.openxmlformats.org/spreadsheetml/2006/main" count="63" uniqueCount="52">
  <si>
    <t>Total</t>
  </si>
  <si>
    <r>
      <t>Quantity</t>
    </r>
    <r>
      <rPr>
        <sz val="12"/>
        <color rgb="FF000000"/>
        <rFont val="Calibri"/>
        <family val="2"/>
      </rPr>
      <t> </t>
    </r>
  </si>
  <si>
    <r>
      <t>Price</t>
    </r>
    <r>
      <rPr>
        <sz val="12"/>
        <color rgb="FF000000"/>
        <rFont val="Calibri"/>
        <family val="2"/>
      </rPr>
      <t> </t>
    </r>
  </si>
  <si>
    <t>2027 Payload PCB BOM</t>
  </si>
  <si>
    <t>Vendor</t>
  </si>
  <si>
    <t>MCU</t>
  </si>
  <si>
    <t>Barometer</t>
  </si>
  <si>
    <t>IMU</t>
  </si>
  <si>
    <t>Flash Chip</t>
  </si>
  <si>
    <t>BMP581</t>
  </si>
  <si>
    <t>BNO085</t>
  </si>
  <si>
    <t>Link</t>
  </si>
  <si>
    <t>DigiKey</t>
  </si>
  <si>
    <t>https://www.digikey.com/en/products/detail/bosch-sensortec/BMP581/16036134</t>
  </si>
  <si>
    <t>https://www.digikey.com/en/products/detail/ceva-technologies-inc/BNO085/9445940</t>
  </si>
  <si>
    <t>https://www.digikey.com/en/products/detail/u-blox/SAM-M10Q-00B/16672678?s=N4IgTCBcDaIK4FoBGAbA9gDwAQGUCCAsggQIwAMAigmWQEIgC6AvkA</t>
  </si>
  <si>
    <t>GPS Unit</t>
  </si>
  <si>
    <t xml:space="preserve">SAM-M10Q-00B </t>
  </si>
  <si>
    <t>Price Total:</t>
  </si>
  <si>
    <t>https://www.digikey.com/en/products/detail/texas-instruments/TPS54302DDCR/6572466</t>
  </si>
  <si>
    <t>TPS54302DDCR</t>
  </si>
  <si>
    <t xml:space="preserve">5V Buck </t>
  </si>
  <si>
    <t>3.3V LDO</t>
  </si>
  <si>
    <t>TLV75533PDBVR</t>
  </si>
  <si>
    <t>https://www.digikey.com/en/products/detail/texas-instruments/TLV75533PDBVR/9356541?s=N4IgTCBcDaICoBkBqB2ArGgzJgCgEQCEkAlEAXQF8g</t>
  </si>
  <si>
    <t>2-Layer PCB</t>
  </si>
  <si>
    <t>JLCPCB</t>
  </si>
  <si>
    <t>W25Q128JVSIM</t>
  </si>
  <si>
    <t>https://www.digikey.com/en/products/detail/winbond-electronics/W25Q128JVSIM/6819721</t>
  </si>
  <si>
    <t>Part Number</t>
  </si>
  <si>
    <t>Description</t>
  </si>
  <si>
    <t>USB-C Receptacle</t>
  </si>
  <si>
    <t>USB4215-03-A</t>
  </si>
  <si>
    <t>https://www.digikey.com/en/products/detail/gct/USB4215-03-A/24395489?s=N4IgTCBcDaIOIGEAqACAqgZQEIBYwEYBWEAXQF8g</t>
  </si>
  <si>
    <t>https://www.digikey.com/en/products/detail/espressif-systems/ESP32-S3-WROOM-1-N8R8/15295891</t>
  </si>
  <si>
    <t>ESP32-S3-WROOM-1-N8R8</t>
  </si>
  <si>
    <t>USB Protection</t>
  </si>
  <si>
    <t>USBLC6-2SC6</t>
  </si>
  <si>
    <t>https://www.digikey.com/en/products/detail/stmicroelectronics/USBLC6-2SC6/1040559</t>
  </si>
  <si>
    <t>JST Connector</t>
  </si>
  <si>
    <t>JST-PH</t>
  </si>
  <si>
    <t>https://www.adafruit.com/product/1769</t>
  </si>
  <si>
    <t>Adafruit</t>
  </si>
  <si>
    <t>TPS2113ADRBR</t>
  </si>
  <si>
    <t>Voltage Controller Diode</t>
  </si>
  <si>
    <t>https://www.digikey.com/en/products/detail/texas-instruments/TPS2113ADRBR/2353703</t>
  </si>
  <si>
    <t>Tactile Switch Button</t>
  </si>
  <si>
    <t>Tactile Switch Buttons</t>
  </si>
  <si>
    <t>https://www.adafruit.com/product/1119</t>
  </si>
  <si>
    <t>STEMMA Connector</t>
  </si>
  <si>
    <t>QWIIC/STEMMAQT Connector 2pmm 4pin</t>
  </si>
  <si>
    <t>https://www.adafruit.com/product/4392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</si>
</sst>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Calibri"/>
      <family val="2"/>
    </font>
    <font>
      <sz val="12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6" fillId="0" borderId="1" xfId="1" applyNumberForma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0" fillId="0" borderId="0" xfId="0" applyNumberFormat="1"/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gct/USB4215-03-A/24395489?s=N4IgTCBcDaIOIGEAqACAqgZQEIBYwEYBWEAXQF8g" TargetMode="External"/><Relationship Id="rId3" Type="http://schemas.openxmlformats.org/officeDocument/2006/relationships/hyperlink" Target="https://www.digikey.com/en/products/detail/winbond-electronics/W25Q128JVSIM/6819721" TargetMode="External"/><Relationship Id="rId7" Type="http://schemas.openxmlformats.org/officeDocument/2006/relationships/hyperlink" Target="https://www.digikey.com/en/products/detail/espressif-systems/ESP32-S3-WROOM-1-N8R8/15295891" TargetMode="External"/><Relationship Id="rId2" Type="http://schemas.openxmlformats.org/officeDocument/2006/relationships/hyperlink" Target="https://www.digikey.com/en/products/detail/ceva-technologies-inc/BNO085/9445940" TargetMode="External"/><Relationship Id="rId1" Type="http://schemas.openxmlformats.org/officeDocument/2006/relationships/hyperlink" Target="https://www.digikey.com/en/products/detail/bosch-sensortec/BMP581/16036134" TargetMode="External"/><Relationship Id="rId6" Type="http://schemas.openxmlformats.org/officeDocument/2006/relationships/hyperlink" Target="https://www.digikey.com/en/products/detail/texas-instruments/TLV75533PDBVR/9356541?s=N4IgTCBcDaICoBkBqB2ArGgzJgCgEQCEkAlEAXQF8g" TargetMode="External"/><Relationship Id="rId11" Type="http://schemas.openxmlformats.org/officeDocument/2006/relationships/hyperlink" Target="https://www.digikey.com/en/products/detail/texas-instruments/TPS2113ADRBR/2353703" TargetMode="External"/><Relationship Id="rId5" Type="http://schemas.openxmlformats.org/officeDocument/2006/relationships/hyperlink" Target="https://www.digikey.com/en/products/detail/texas-instruments/TPS54302DDCR/6572466" TargetMode="External"/><Relationship Id="rId10" Type="http://schemas.openxmlformats.org/officeDocument/2006/relationships/hyperlink" Target="https://www.adafruit.com/product/1769" TargetMode="External"/><Relationship Id="rId4" Type="http://schemas.openxmlformats.org/officeDocument/2006/relationships/hyperlink" Target="https://www.digikey.com/en/products/detail/u-blox/SAM-M10Q-00B/16672678?s=N4IgTCBcDaIK4FoBGAbA9gDwAQGUCCAsggQIwAMAigmWQEIgC6AvkA" TargetMode="External"/><Relationship Id="rId9" Type="http://schemas.openxmlformats.org/officeDocument/2006/relationships/hyperlink" Target="https://www.digikey.com/en/products/detail/stmicroelectronics/USBLC6-2SC6/10405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1DD9-69F2-400F-A53B-14C9D73BE745}">
  <dimension ref="B3:K20"/>
  <sheetViews>
    <sheetView tabSelected="1" workbookViewId="0">
      <selection activeCell="N11" sqref="N11"/>
    </sheetView>
  </sheetViews>
  <sheetFormatPr defaultRowHeight="15" x14ac:dyDescent="0.25"/>
  <cols>
    <col min="2" max="2" width="17.28515625" customWidth="1"/>
    <col min="3" max="3" width="20.28515625" customWidth="1"/>
    <col min="4" max="4" width="19.7109375" customWidth="1"/>
    <col min="5" max="7" width="15.28515625" customWidth="1"/>
    <col min="8" max="8" width="15.42578125" customWidth="1"/>
    <col min="10" max="10" width="11.42578125" customWidth="1"/>
  </cols>
  <sheetData>
    <row r="3" spans="2:8" ht="15.75" x14ac:dyDescent="0.25">
      <c r="B3" s="1" t="s">
        <v>3</v>
      </c>
      <c r="C3" s="1"/>
      <c r="D3" s="1"/>
      <c r="E3" s="1"/>
      <c r="F3" s="1"/>
      <c r="G3" s="1"/>
      <c r="H3" s="1"/>
    </row>
    <row r="4" spans="2:8" ht="15" customHeight="1" x14ac:dyDescent="0.25">
      <c r="B4" s="2" t="s">
        <v>30</v>
      </c>
      <c r="C4" s="2" t="s">
        <v>29</v>
      </c>
      <c r="D4" s="2" t="s">
        <v>1</v>
      </c>
      <c r="E4" s="2" t="s">
        <v>2</v>
      </c>
      <c r="F4" s="2" t="s">
        <v>4</v>
      </c>
      <c r="G4" s="2" t="s">
        <v>0</v>
      </c>
      <c r="H4" s="2" t="s">
        <v>11</v>
      </c>
    </row>
    <row r="5" spans="2:8" ht="33" customHeight="1" x14ac:dyDescent="0.25">
      <c r="B5" s="3" t="s">
        <v>5</v>
      </c>
      <c r="C5" s="3" t="s">
        <v>35</v>
      </c>
      <c r="D5" s="3">
        <v>1</v>
      </c>
      <c r="E5" s="4">
        <v>6.32</v>
      </c>
      <c r="F5" s="4" t="s">
        <v>12</v>
      </c>
      <c r="G5" s="4">
        <v>6.32</v>
      </c>
      <c r="H5" s="6" t="s">
        <v>34</v>
      </c>
    </row>
    <row r="6" spans="2:8" ht="33" customHeight="1" x14ac:dyDescent="0.25">
      <c r="B6" s="3" t="s">
        <v>6</v>
      </c>
      <c r="C6" s="3" t="s">
        <v>9</v>
      </c>
      <c r="D6" s="3">
        <v>1</v>
      </c>
      <c r="E6" s="9">
        <v>3.07</v>
      </c>
      <c r="F6" s="4" t="s">
        <v>12</v>
      </c>
      <c r="G6" s="9">
        <v>3.07</v>
      </c>
      <c r="H6" s="7" t="s">
        <v>13</v>
      </c>
    </row>
    <row r="7" spans="2:8" ht="33" customHeight="1" x14ac:dyDescent="0.25">
      <c r="B7" s="3" t="s">
        <v>7</v>
      </c>
      <c r="C7" s="8" t="s">
        <v>10</v>
      </c>
      <c r="D7" s="3">
        <v>1</v>
      </c>
      <c r="E7" s="4">
        <v>13.57</v>
      </c>
      <c r="F7" s="4" t="s">
        <v>12</v>
      </c>
      <c r="G7" s="4">
        <v>13.57</v>
      </c>
      <c r="H7" s="7" t="s">
        <v>14</v>
      </c>
    </row>
    <row r="8" spans="2:8" ht="33" customHeight="1" x14ac:dyDescent="0.25">
      <c r="B8" s="3" t="s">
        <v>8</v>
      </c>
      <c r="C8" s="3" t="s">
        <v>27</v>
      </c>
      <c r="D8" s="3">
        <v>1</v>
      </c>
      <c r="E8" s="4">
        <v>3.15</v>
      </c>
      <c r="F8" s="4" t="s">
        <v>12</v>
      </c>
      <c r="G8" s="4">
        <v>3.15</v>
      </c>
      <c r="H8" s="6" t="s">
        <v>28</v>
      </c>
    </row>
    <row r="9" spans="2:8" ht="33" customHeight="1" x14ac:dyDescent="0.25">
      <c r="B9" s="3" t="s">
        <v>16</v>
      </c>
      <c r="C9" s="3" t="s">
        <v>17</v>
      </c>
      <c r="D9" s="3">
        <v>1</v>
      </c>
      <c r="E9" s="4">
        <v>13.36</v>
      </c>
      <c r="F9" s="4" t="s">
        <v>12</v>
      </c>
      <c r="G9" s="4">
        <v>13.36</v>
      </c>
      <c r="H9" s="7" t="s">
        <v>15</v>
      </c>
    </row>
    <row r="10" spans="2:8" ht="33" customHeight="1" x14ac:dyDescent="0.25">
      <c r="B10" s="3" t="s">
        <v>21</v>
      </c>
      <c r="C10" s="3" t="s">
        <v>20</v>
      </c>
      <c r="D10" s="3">
        <v>5</v>
      </c>
      <c r="E10" s="4">
        <v>1.41</v>
      </c>
      <c r="F10" s="4" t="s">
        <v>12</v>
      </c>
      <c r="G10" s="4">
        <v>7.05</v>
      </c>
      <c r="H10" s="6" t="s">
        <v>19</v>
      </c>
    </row>
    <row r="11" spans="2:8" ht="33" customHeight="1" x14ac:dyDescent="0.25">
      <c r="B11" s="3" t="s">
        <v>22</v>
      </c>
      <c r="C11" s="3" t="s">
        <v>23</v>
      </c>
      <c r="D11" s="3">
        <v>5</v>
      </c>
      <c r="E11" s="5">
        <v>0.45</v>
      </c>
      <c r="F11" s="5" t="s">
        <v>12</v>
      </c>
      <c r="G11" s="5">
        <v>2.25</v>
      </c>
      <c r="H11" s="6" t="s">
        <v>24</v>
      </c>
    </row>
    <row r="12" spans="2:8" ht="33" customHeight="1" x14ac:dyDescent="0.25">
      <c r="B12" s="3" t="s">
        <v>39</v>
      </c>
      <c r="C12" s="3" t="s">
        <v>40</v>
      </c>
      <c r="D12" s="3">
        <v>5</v>
      </c>
      <c r="E12" s="5">
        <v>0.75</v>
      </c>
      <c r="F12" s="5" t="s">
        <v>42</v>
      </c>
      <c r="G12" s="5">
        <v>3.75</v>
      </c>
      <c r="H12" s="6" t="s">
        <v>41</v>
      </c>
    </row>
    <row r="13" spans="2:8" ht="33" customHeight="1" x14ac:dyDescent="0.25">
      <c r="B13" s="3" t="s">
        <v>36</v>
      </c>
      <c r="C13" s="11" t="s">
        <v>37</v>
      </c>
      <c r="D13" s="3">
        <v>1</v>
      </c>
      <c r="E13" s="5">
        <v>0.56999999999999995</v>
      </c>
      <c r="F13" s="5" t="s">
        <v>12</v>
      </c>
      <c r="G13" s="5">
        <v>0.56999999999999995</v>
      </c>
      <c r="H13" s="6" t="s">
        <v>38</v>
      </c>
    </row>
    <row r="14" spans="2:8" ht="33" customHeight="1" x14ac:dyDescent="0.25">
      <c r="B14" s="3" t="s">
        <v>31</v>
      </c>
      <c r="C14" s="3" t="s">
        <v>32</v>
      </c>
      <c r="D14" s="3">
        <v>1</v>
      </c>
      <c r="E14" s="5">
        <v>0.53</v>
      </c>
      <c r="F14" s="5" t="s">
        <v>12</v>
      </c>
      <c r="G14" s="5">
        <v>0.53</v>
      </c>
      <c r="H14" s="6" t="s">
        <v>33</v>
      </c>
    </row>
    <row r="15" spans="2:8" ht="33" customHeight="1" x14ac:dyDescent="0.25">
      <c r="B15" s="3" t="s">
        <v>44</v>
      </c>
      <c r="C15" s="3" t="s">
        <v>43</v>
      </c>
      <c r="D15" s="3">
        <v>2</v>
      </c>
      <c r="E15" s="5">
        <v>2.59</v>
      </c>
      <c r="F15" s="5" t="s">
        <v>12</v>
      </c>
      <c r="G15" s="5">
        <v>2.59</v>
      </c>
      <c r="H15" s="6" t="s">
        <v>45</v>
      </c>
    </row>
    <row r="16" spans="2:8" ht="33" customHeight="1" x14ac:dyDescent="0.25">
      <c r="B16" s="3" t="s">
        <v>46</v>
      </c>
      <c r="C16" s="3" t="s">
        <v>47</v>
      </c>
      <c r="D16" s="3">
        <v>1</v>
      </c>
      <c r="E16" s="5">
        <v>2.5</v>
      </c>
      <c r="F16" s="5" t="s">
        <v>42</v>
      </c>
      <c r="G16" s="5">
        <v>2.5</v>
      </c>
      <c r="H16" s="6" t="s">
        <v>48</v>
      </c>
    </row>
    <row r="17" spans="2:11" ht="33" customHeight="1" x14ac:dyDescent="0.25">
      <c r="B17" s="3" t="s">
        <v>49</v>
      </c>
      <c r="C17" s="3" t="s">
        <v>50</v>
      </c>
      <c r="D17" s="3">
        <v>1</v>
      </c>
      <c r="E17" s="5">
        <v>3.5</v>
      </c>
      <c r="F17" s="5" t="s">
        <v>42</v>
      </c>
      <c r="G17" s="5">
        <v>3.5</v>
      </c>
      <c r="H17" s="6" t="s">
        <v>51</v>
      </c>
    </row>
    <row r="18" spans="2:11" ht="33" customHeight="1" x14ac:dyDescent="0.25">
      <c r="B18" s="3" t="s">
        <v>25</v>
      </c>
      <c r="C18" s="3"/>
      <c r="D18" s="3"/>
      <c r="E18" s="5"/>
      <c r="F18" s="5" t="s">
        <v>26</v>
      </c>
      <c r="G18" s="5"/>
      <c r="H18" s="6"/>
    </row>
    <row r="20" spans="2:11" x14ac:dyDescent="0.25">
      <c r="J20" t="s">
        <v>18</v>
      </c>
      <c r="K20" s="10">
        <f>SUM(G5:G18)</f>
        <v>62.209999999999994</v>
      </c>
    </row>
  </sheetData>
  <mergeCells count="1">
    <mergeCell ref="B3:H3"/>
  </mergeCells>
  <hyperlinks>
    <hyperlink ref="H6" r:id="rId1" xr:uid="{58F5549E-3F0D-45E3-8E81-90DEF8413FF0}"/>
    <hyperlink ref="H7" r:id="rId2" xr:uid="{F87D73F3-0669-4B44-8CDB-C66BB00F7638}"/>
    <hyperlink ref="H8" r:id="rId3" xr:uid="{4BD7C7DE-8120-4A7F-B0ED-908B44C4A126}"/>
    <hyperlink ref="H9" r:id="rId4" xr:uid="{407191F4-7B36-4D99-B9AB-2A6CA61CCE73}"/>
    <hyperlink ref="H10" r:id="rId5" xr:uid="{55F4E630-B793-455A-9FA5-99B0A0E893C2}"/>
    <hyperlink ref="H11" r:id="rId6" xr:uid="{5270CDCB-1640-4F8C-99BE-B8402E1754C0}"/>
    <hyperlink ref="H5" r:id="rId7" xr:uid="{9FC66C5B-C40A-40F4-8AB8-A56E13942934}"/>
    <hyperlink ref="H14" r:id="rId8" xr:uid="{16092E1F-5344-4538-A7B9-BD6E06B28E6B}"/>
    <hyperlink ref="H13" r:id="rId9" xr:uid="{98BADFE2-DFD4-4B19-BAF1-4D6C3D0FFA5B}"/>
    <hyperlink ref="H12" r:id="rId10" xr:uid="{64053AC4-7608-47DE-88AD-8F0E5C0C9FC7}"/>
    <hyperlink ref="H15" r:id="rId11" xr:uid="{EDE47FC1-5C76-4658-90F6-EB24E6823A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McNeley, Brice T</dc:creator>
  <cp:lastModifiedBy>McNeley, Brice T</cp:lastModifiedBy>
  <dcterms:created xsi:type="dcterms:W3CDTF">2026-08-01T23:05:18Z</dcterms:created>
  <dcterms:modified xsi:type="dcterms:W3CDTF">2026-08-03T01:47:58Z</dcterms:modified>
</cp:coreProperties>
</file>